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 xmlns:r="http://schemas.openxmlformats.org/officeDocument/2006/relationships" name="Machines" sheetId="2" state="visible" r:id="rId2"/>
    <sheet xmlns:r="http://schemas.openxmlformats.org/officeDocument/2006/relationships" name="Tickets" sheetId="3" state="visible" r:id="rId3"/>
    <sheet xmlns:r="http://schemas.openxmlformats.org/officeDocument/2006/relationships" name="MachineEvents" sheetId="4" state="visible" r:id="rId4"/>
    <sheet xmlns:r="http://schemas.openxmlformats.org/officeDocument/2006/relationships" name="Users" sheetId="5" state="visible" r:id="rId5"/>
    <sheet xmlns:r="http://schemas.openxmlformats.org/officeDocument/2006/relationships" name="Documents" sheetId="6" state="visible" r:id="rId6"/>
    <sheet xmlns:r="http://schemas.openxmlformats.org/officeDocument/2006/relationships" name="SpareParts" sheetId="7" state="visible" r:id="rId7"/>
    <sheet xmlns:r="http://schemas.openxmlformats.org/officeDocument/2006/relationships" name="Consumables" sheetId="8" state="visible" r:id="rId8"/>
    <sheet xmlns:r="http://schemas.openxmlformats.org/officeDocument/2006/relationships" name="Dashboard" sheetId="9" state="visible" r:id="rId9"/>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yyyy-mm-dd hh:mm"/>
  </numFmts>
  <fonts count="6">
    <font>
      <name val="Calibri"/>
      <family val="2"/>
      <color theme="1"/>
      <sz val="11"/>
      <scheme val="minor"/>
    </font>
    <font>
      <b val="1"/>
      <color rgb="00FFFFFF"/>
    </font>
    <font>
      <b val="1"/>
      <sz val="12"/>
    </font>
    <font>
      <b val="1"/>
    </font>
    <font>
      <b val="1"/>
      <sz val="11"/>
    </font>
    <font>
      <i val="1"/>
      <color rgb="00808080"/>
      <sz val="9"/>
    </font>
  </fonts>
  <fills count="4">
    <fill>
      <patternFill/>
    </fill>
    <fill>
      <patternFill patternType="gray125"/>
    </fill>
    <fill>
      <patternFill patternType="solid">
        <fgColor rgb="001F4E78"/>
        <bgColor rgb="001F4E78"/>
      </patternFill>
    </fill>
    <fill>
      <patternFill patternType="solid">
        <fgColor rgb="00FFF2CC"/>
        <b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165" fontId="0" fillId="0" borderId="0" pivotButton="0" quotePrefix="0" xfId="0"/>
    <xf numFmtId="166" fontId="0" fillId="0" borderId="0" pivotButton="0" quotePrefix="0" xfId="0"/>
    <xf numFmtId="0" fontId="2" fillId="0" borderId="0" pivotButton="0" quotePrefix="0" xfId="0"/>
    <xf numFmtId="0" fontId="3" fillId="0" borderId="0" pivotButton="0" quotePrefix="0" xfId="0"/>
    <xf numFmtId="0" fontId="0" fillId="3" borderId="0" pivotButton="0" quotePrefix="0" xfId="0"/>
    <xf numFmtId="0" fontId="4" fillId="0" borderId="0" pivotButton="0" quotePrefix="0" xfId="0"/>
    <xf numFmtId="0" fontId="5"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0" customWidth="1" min="3" max="3"/>
    <col width="16" customWidth="1" min="4" max="4"/>
    <col width="14" customWidth="1" min="5" max="5"/>
    <col width="10" customWidth="1" min="6" max="6"/>
    <col width="32" customWidth="1" min="7" max="7"/>
  </cols>
  <sheetData>
    <row r="1">
      <c r="A1" s="1" t="inlineStr">
        <is>
          <t>company_code</t>
        </is>
      </c>
      <c r="B1" s="1" t="inlineStr">
        <is>
          <t>company_name</t>
        </is>
      </c>
      <c r="C1" s="1" t="inlineStr">
        <is>
          <t>admin_contact_phone</t>
        </is>
      </c>
      <c r="D1" s="1" t="inlineStr">
        <is>
          <t>onboarded_date</t>
        </is>
      </c>
      <c r="E1" s="1" t="inlineStr">
        <is>
          <t>machine_quota</t>
        </is>
      </c>
      <c r="F1" s="1" t="inlineStr">
        <is>
          <t>approved</t>
        </is>
      </c>
      <c r="G1" s="1" t="inlineStr">
        <is>
          <t>payment_screenshot</t>
        </is>
      </c>
    </row>
    <row r="2">
      <c r="A2" t="inlineStr">
        <is>
          <t>ACME3</t>
        </is>
      </c>
      <c r="B2" t="inlineStr">
        <is>
          <t>Acme Forge Pvt Ltd</t>
        </is>
      </c>
      <c r="C2" t="inlineStr">
        <is>
          <t>+919820012345</t>
        </is>
      </c>
      <c r="D2" s="2" t="n">
        <v>46037</v>
      </c>
      <c r="E2" t="n">
        <v>5</v>
      </c>
      <c r="F2" t="inlineStr">
        <is>
          <t>yes</t>
        </is>
      </c>
      <c r="G2" t="inlineStr"/>
    </row>
    <row r="3">
      <c r="A3" t="inlineStr">
        <is>
          <t>BETA1</t>
        </is>
      </c>
      <c r="B3" t="inlineStr">
        <is>
          <t>Beta Precision Works</t>
        </is>
      </c>
      <c r="C3" t="inlineStr">
        <is>
          <t>+919820098765</t>
        </is>
      </c>
      <c r="D3" s="2" t="n">
        <v>46082</v>
      </c>
      <c r="E3" t="n">
        <v>3</v>
      </c>
      <c r="F3" t="inlineStr">
        <is>
          <t>yes</t>
        </is>
      </c>
      <c r="G3" t="inlineStr"/>
    </row>
  </sheetData>
  <dataValidations count="1">
    <dataValidation sqref="F2:F1000" showDropDown="0" showInputMessage="0" showErrorMessage="0" allowBlank="0"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20" customWidth="1" min="3" max="3"/>
    <col width="16" customWidth="1" min="4" max="4"/>
    <col width="22" customWidth="1" min="5" max="5"/>
    <col width="18" customWidth="1" min="6" max="6"/>
    <col width="18" customWidth="1" min="7" max="7"/>
    <col width="18" customWidth="1" min="8" max="8"/>
    <col width="20" customWidth="1" min="9" max="9"/>
    <col hidden="1" width="16" customWidth="1" min="10" max="10"/>
  </cols>
  <sheetData>
    <row r="1">
      <c r="A1" s="1" t="inlineStr">
        <is>
          <t>machine_id</t>
        </is>
      </c>
      <c r="B1" s="1" t="inlineStr">
        <is>
          <t>company_code</t>
        </is>
      </c>
      <c r="C1" s="1" t="inlineStr">
        <is>
          <t>machine_name</t>
        </is>
      </c>
      <c r="D1" s="1" t="inlineStr">
        <is>
          <t>location</t>
        </is>
      </c>
      <c r="E1" s="1" t="inlineStr">
        <is>
          <t>assigned_technician_phone</t>
        </is>
      </c>
      <c r="F1" s="1" t="inlineStr">
        <is>
          <t>informed_phone_1</t>
        </is>
      </c>
      <c r="G1" s="1" t="inlineStr">
        <is>
          <t>informed_phone_2</t>
        </is>
      </c>
      <c r="H1" s="1" t="inlineStr">
        <is>
          <t>informed_phone_3</t>
        </is>
      </c>
      <c r="I1" s="1" t="inlineStr">
        <is>
          <t>supervisor_id</t>
        </is>
      </c>
      <c r="J1" s="1" t="inlineStr">
        <is>
          <t>has_open_tickets</t>
        </is>
      </c>
    </row>
    <row r="2">
      <c r="A2" t="inlineStr">
        <is>
          <t>TF-ACME3-M001</t>
        </is>
      </c>
      <c r="B2" t="inlineStr">
        <is>
          <t>ACME3</t>
        </is>
      </c>
      <c r="C2" t="inlineStr">
        <is>
          <t>CNC Lathe 1</t>
        </is>
      </c>
      <c r="D2" t="inlineStr">
        <is>
          <t>Shop Floor A</t>
        </is>
      </c>
      <c r="E2" t="inlineStr">
        <is>
          <t>+919812340001</t>
        </is>
      </c>
      <c r="F2" t="inlineStr">
        <is>
          <t>+919812340010</t>
        </is>
      </c>
      <c r="G2" t="inlineStr">
        <is>
          <t>+919812340011</t>
        </is>
      </c>
      <c r="H2" t="inlineStr"/>
      <c r="I2" t="inlineStr">
        <is>
          <t>U-ACME3-003</t>
        </is>
      </c>
      <c r="J2">
        <f>COUNTIFS(Tickets!$B:$B,A2,Tickets!$J:$J,"Open")</f>
        <v/>
      </c>
    </row>
    <row r="3">
      <c r="A3" t="inlineStr">
        <is>
          <t>TF-ACME3-M002</t>
        </is>
      </c>
      <c r="B3" t="inlineStr">
        <is>
          <t>ACME3</t>
        </is>
      </c>
      <c r="C3" t="inlineStr">
        <is>
          <t>Hydraulic Press</t>
        </is>
      </c>
      <c r="D3" t="inlineStr">
        <is>
          <t>Shop Floor B</t>
        </is>
      </c>
      <c r="E3" t="inlineStr">
        <is>
          <t>+919812340002</t>
        </is>
      </c>
      <c r="F3" t="inlineStr">
        <is>
          <t>+919812340010</t>
        </is>
      </c>
      <c r="G3" t="inlineStr">
        <is>
          <t>+919812340011</t>
        </is>
      </c>
      <c r="H3" t="inlineStr"/>
      <c r="I3" t="inlineStr">
        <is>
          <t>U-ACME3-003</t>
        </is>
      </c>
      <c r="J3">
        <f>COUNTIFS(Tickets!$B:$B,A3,Tickets!$J:$J,"Open")</f>
        <v/>
      </c>
    </row>
    <row r="4">
      <c r="A4" t="inlineStr">
        <is>
          <t>TF-BETA1-M001</t>
        </is>
      </c>
      <c r="B4" t="inlineStr">
        <is>
          <t>BETA1</t>
        </is>
      </c>
      <c r="C4" t="inlineStr">
        <is>
          <t>Grinding Machine</t>
        </is>
      </c>
      <c r="D4" t="inlineStr">
        <is>
          <t>Unit 2</t>
        </is>
      </c>
      <c r="E4" t="inlineStr">
        <is>
          <t>+919812340003</t>
        </is>
      </c>
      <c r="F4" t="inlineStr">
        <is>
          <t>+919812340020</t>
        </is>
      </c>
      <c r="G4" t="inlineStr"/>
      <c r="H4" t="inlineStr"/>
      <c r="I4" t="inlineStr"/>
      <c r="J4">
        <f>COUNTIFS(Tickets!$B:$B,A4,Tickets!$J:$J,"Open")</f>
        <v/>
      </c>
    </row>
    <row r="5">
      <c r="A5" t="inlineStr">
        <is>
          <t>TF-BETA1-M002</t>
        </is>
      </c>
      <c r="B5" t="inlineStr">
        <is>
          <t>BETA1</t>
        </is>
      </c>
      <c r="C5" t="inlineStr">
        <is>
          <t>Compressor</t>
        </is>
      </c>
      <c r="D5" t="inlineStr">
        <is>
          <t>Utility Room</t>
        </is>
      </c>
      <c r="E5" t="inlineStr">
        <is>
          <t>+919812340004</t>
        </is>
      </c>
      <c r="F5" t="inlineStr">
        <is>
          <t>+919812340020</t>
        </is>
      </c>
      <c r="G5" t="inlineStr"/>
      <c r="H5" t="inlineStr"/>
      <c r="I5" t="inlineStr"/>
      <c r="J5">
        <f>COUNTIFS(Tickets!$B:$B,A5,Tickets!$J:$J,"Open")</f>
        <v/>
      </c>
    </row>
  </sheetData>
  <dataValidations count="1">
    <dataValidation sqref="B2:B1000" showDropDown="0" showInputMessage="0" showErrorMessage="0" allowBlank="0" type="list">
      <formula1>=Companies!$A$2:$A$1000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4" customWidth="1" min="3" max="3"/>
    <col width="20" customWidth="1" min="4" max="4"/>
    <col width="18" customWidth="1" min="5" max="5"/>
    <col width="18" customWidth="1" min="6" max="6"/>
    <col width="28" customWidth="1" min="7" max="7"/>
    <col width="30" customWidth="1" min="8" max="8"/>
    <col width="10" customWidth="1" min="9" max="9"/>
    <col width="10" customWidth="1" min="10" max="10"/>
    <col width="18" customWidth="1" min="11" max="11"/>
    <col width="14" customWidth="1" min="12" max="12"/>
    <col width="20" customWidth="1" min="13" max="13"/>
    <col width="20" customWidth="1" min="14" max="14"/>
    <col width="10" customWidth="1" min="15" max="15"/>
    <col width="18" customWidth="1" min="16" max="16"/>
  </cols>
  <sheetData>
    <row r="1">
      <c r="A1" s="1" t="inlineStr">
        <is>
          <t>ticket_id</t>
        </is>
      </c>
      <c r="B1" s="1" t="inlineStr">
        <is>
          <t>machine_id</t>
        </is>
      </c>
      <c r="C1" s="1" t="inlineStr">
        <is>
          <t>company_code</t>
        </is>
      </c>
      <c r="D1" s="1" t="inlineStr">
        <is>
          <t>machine_name</t>
        </is>
      </c>
      <c r="E1" s="1" t="inlineStr">
        <is>
          <t>reported_at</t>
        </is>
      </c>
      <c r="F1" s="1" t="inlineStr">
        <is>
          <t>reporter_phone</t>
        </is>
      </c>
      <c r="G1" s="1" t="inlineStr">
        <is>
          <t>description</t>
        </is>
      </c>
      <c r="H1" s="1" t="inlineStr">
        <is>
          <t>ai_summary</t>
        </is>
      </c>
      <c r="I1" s="1" t="inlineStr">
        <is>
          <t>urgency</t>
        </is>
      </c>
      <c r="J1" s="1" t="inlineStr">
        <is>
          <t>status</t>
        </is>
      </c>
      <c r="K1" s="1" t="inlineStr">
        <is>
          <t>closed_at</t>
        </is>
      </c>
      <c r="L1" s="1" t="inlineStr">
        <is>
          <t>hours_to_fix</t>
        </is>
      </c>
      <c r="M1" s="1" t="inlineStr">
        <is>
          <t>voice_note_media_id</t>
        </is>
      </c>
      <c r="N1" s="1" t="inlineStr">
        <is>
          <t>photo_media_id</t>
        </is>
      </c>
      <c r="O1" s="1" t="inlineStr">
        <is>
          <t>language</t>
        </is>
      </c>
      <c r="P1" s="1" t="inlineStr">
        <is>
          <t>closed_by</t>
        </is>
      </c>
    </row>
    <row r="2">
      <c r="A2" t="inlineStr">
        <is>
          <t>T001</t>
        </is>
      </c>
      <c r="B2" t="inlineStr">
        <is>
          <t>TF-ACME3-M001</t>
        </is>
      </c>
      <c r="C2">
        <f>VLOOKUP(B2,Machines!$A:$C,2,FALSE)</f>
        <v/>
      </c>
      <c r="D2">
        <f>VLOOKUP(B2,Machines!$A:$C,3,FALSE)</f>
        <v/>
      </c>
      <c r="E2" s="3" t="n">
        <v>46204.375</v>
      </c>
      <c r="F2" t="inlineStr">
        <is>
          <t>+919900011111</t>
        </is>
      </c>
      <c r="G2" t="inlineStr">
        <is>
          <t>Loud grinding noise from spindle</t>
        </is>
      </c>
      <c r="H2" t="inlineStr">
        <is>
          <t>Spindle bearing wear suspected; medium urgency; inspect and lubricate/replace bearing</t>
        </is>
      </c>
      <c r="I2" t="inlineStr">
        <is>
          <t>Medium</t>
        </is>
      </c>
      <c r="J2" t="inlineStr">
        <is>
          <t>Open</t>
        </is>
      </c>
      <c r="L2">
        <f>IF(J2="Closed",(K2-E2)*24,"")</f>
        <v/>
      </c>
      <c r="M2" t="inlineStr"/>
      <c r="N2" t="inlineStr"/>
      <c r="O2" t="inlineStr">
        <is>
          <t>hi</t>
        </is>
      </c>
      <c r="P2" t="inlineStr"/>
    </row>
    <row r="3">
      <c r="A3" t="inlineStr">
        <is>
          <t>T002</t>
        </is>
      </c>
      <c r="B3" t="inlineStr">
        <is>
          <t>TF-ACME3-M002</t>
        </is>
      </c>
      <c r="C3">
        <f>VLOOKUP(B3,Machines!$A:$C,2,FALSE)</f>
        <v/>
      </c>
      <c r="D3">
        <f>VLOOKUP(B3,Machines!$A:$C,3,FALSE)</f>
        <v/>
      </c>
      <c r="E3" s="3" t="n">
        <v>46208.41666666666</v>
      </c>
      <c r="F3" t="inlineStr">
        <is>
          <t>+919900011112</t>
        </is>
      </c>
      <c r="G3" t="inlineStr">
        <is>
          <t>Press not building full pressure</t>
        </is>
      </c>
      <c r="H3" t="inlineStr">
        <is>
          <t>Hydraulic seal leak likely; high urgency; check seals and fluid level</t>
        </is>
      </c>
      <c r="I3" t="inlineStr">
        <is>
          <t>Medium</t>
        </is>
      </c>
      <c r="J3" t="inlineStr">
        <is>
          <t>Closed</t>
        </is>
      </c>
      <c r="K3" s="3" t="n">
        <v>46209.58333333334</v>
      </c>
      <c r="L3">
        <f>IF(J3="Closed",(K3-E3)*24,"")</f>
        <v/>
      </c>
      <c r="M3" t="inlineStr"/>
      <c r="N3" t="inlineStr"/>
      <c r="O3" t="inlineStr">
        <is>
          <t>en</t>
        </is>
      </c>
      <c r="P3" t="inlineStr">
        <is>
          <t>+919820012345</t>
        </is>
      </c>
    </row>
    <row r="4">
      <c r="A4" t="inlineStr">
        <is>
          <t>T003</t>
        </is>
      </c>
      <c r="B4" t="inlineStr">
        <is>
          <t>TF-BETA1-M001</t>
        </is>
      </c>
      <c r="C4">
        <f>VLOOKUP(B4,Machines!$A:$C,2,FALSE)</f>
        <v/>
      </c>
      <c r="D4">
        <f>VLOOKUP(B4,Machines!$A:$C,3,FALSE)</f>
        <v/>
      </c>
      <c r="E4" s="3" t="n">
        <v>46210.33333333334</v>
      </c>
      <c r="F4" t="inlineStr">
        <is>
          <t>+919900011113</t>
        </is>
      </c>
      <c r="G4" t="inlineStr">
        <is>
          <t>Grinding wheel wobble</t>
        </is>
      </c>
      <c r="H4" t="inlineStr">
        <is>
          <t>Wheel balance/mounting issue; medium urgency; re-mount and balance wheel</t>
        </is>
      </c>
      <c r="I4" t="inlineStr">
        <is>
          <t>Medium</t>
        </is>
      </c>
      <c r="J4" t="inlineStr">
        <is>
          <t>Closed</t>
        </is>
      </c>
      <c r="K4" s="3" t="n">
        <v>46210.47916666666</v>
      </c>
      <c r="L4">
        <f>IF(J4="Closed",(K4-E4)*24,"")</f>
        <v/>
      </c>
      <c r="M4" t="inlineStr"/>
      <c r="N4" t="inlineStr"/>
      <c r="O4" t="inlineStr">
        <is>
          <t>en</t>
        </is>
      </c>
      <c r="P4" t="inlineStr">
        <is>
          <t>+919820098765</t>
        </is>
      </c>
    </row>
    <row r="5">
      <c r="A5" t="inlineStr">
        <is>
          <t>T004</t>
        </is>
      </c>
      <c r="B5" t="inlineStr">
        <is>
          <t>TF-BETA1-M002</t>
        </is>
      </c>
      <c r="C5">
        <f>VLOOKUP(B5,Machines!$A:$C,2,FALSE)</f>
        <v/>
      </c>
      <c r="D5">
        <f>VLOOKUP(B5,Machines!$A:$C,3,FALSE)</f>
        <v/>
      </c>
      <c r="E5" s="3" t="n">
        <v>46205.3125</v>
      </c>
      <c r="F5" t="inlineStr">
        <is>
          <t>+919900011114</t>
        </is>
      </c>
      <c r="G5" t="inlineStr">
        <is>
          <t>Compressor tripping breaker repeatedly</t>
        </is>
      </c>
      <c r="H5" t="inlineStr">
        <is>
          <t>Possible motor overload or short; high urgency; electrician to inspect</t>
        </is>
      </c>
      <c r="I5" t="inlineStr">
        <is>
          <t>High</t>
        </is>
      </c>
      <c r="J5" t="inlineStr">
        <is>
          <t>Open</t>
        </is>
      </c>
      <c r="L5">
        <f>IF(J5="Closed",(K5-E5)*24,"")</f>
        <v/>
      </c>
      <c r="M5" t="inlineStr"/>
      <c r="N5" t="inlineStr"/>
      <c r="O5" t="inlineStr">
        <is>
          <t>en</t>
        </is>
      </c>
      <c r="P5" t="inlineStr"/>
    </row>
  </sheetData>
  <dataValidations count="2">
    <dataValidation sqref="B2:B1000" showDropDown="0" showInputMessage="0" showErrorMessage="0" allowBlank="0" type="list">
      <formula1>=Machines!$A$2:$A$1000</formula1>
    </dataValidation>
    <dataValidation sqref="J2:J1000" showDropDown="0" showInputMessage="0" showErrorMessage="0" allowBlank="0" type="list">
      <formula1>"Open,Closed"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4" customWidth="1" min="3" max="3"/>
    <col width="12" customWidth="1" min="4" max="4"/>
    <col width="16" customWidth="1" min="5" max="5"/>
    <col width="18" customWidth="1" min="6" max="6"/>
    <col width="18" customWidth="1" min="7" max="7"/>
    <col width="28" customWidth="1" min="8" max="8"/>
    <col width="12" customWidth="1" min="9" max="9"/>
    <col width="16" customWidth="1" min="10" max="10"/>
    <col width="10" customWidth="1" min="11" max="11"/>
  </cols>
  <sheetData>
    <row r="1">
      <c r="A1" s="1" t="inlineStr">
        <is>
          <t>event_id</t>
        </is>
      </c>
      <c r="B1" s="1" t="inlineStr">
        <is>
          <t>machine_id</t>
        </is>
      </c>
      <c r="C1" s="1" t="inlineStr">
        <is>
          <t>company_code</t>
        </is>
      </c>
      <c r="D1" s="1" t="inlineStr">
        <is>
          <t>ticket_id</t>
        </is>
      </c>
      <c r="E1" s="1" t="inlineStr">
        <is>
          <t>event_type</t>
        </is>
      </c>
      <c r="F1" s="1" t="inlineStr">
        <is>
          <t>timestamp</t>
        </is>
      </c>
      <c r="G1" s="1" t="inlineStr">
        <is>
          <t>actor_phone</t>
        </is>
      </c>
      <c r="H1" s="1" t="inlineStr">
        <is>
          <t>description</t>
        </is>
      </c>
      <c r="I1" s="1" t="inlineStr">
        <is>
          <t>media_type</t>
        </is>
      </c>
      <c r="J1" s="1" t="inlineStr">
        <is>
          <t>media_id</t>
        </is>
      </c>
      <c r="K1" s="1" t="inlineStr">
        <is>
          <t>language</t>
        </is>
      </c>
    </row>
    <row r="2">
      <c r="A2" t="inlineStr">
        <is>
          <t>EV001</t>
        </is>
      </c>
      <c r="B2" t="inlineStr">
        <is>
          <t>TF-ACME3-M001</t>
        </is>
      </c>
      <c r="C2" t="inlineStr">
        <is>
          <t>ACME3</t>
        </is>
      </c>
      <c r="D2" t="inlineStr">
        <is>
          <t>T001</t>
        </is>
      </c>
      <c r="E2" t="inlineStr">
        <is>
          <t>ticket_created</t>
        </is>
      </c>
      <c r="F2" s="3" t="n">
        <v>46204.375</v>
      </c>
      <c r="G2" t="inlineStr">
        <is>
          <t>+919900011111</t>
        </is>
      </c>
      <c r="H2" t="inlineStr">
        <is>
          <t>Ticket opened via WhatsApp</t>
        </is>
      </c>
      <c r="I2" t="inlineStr">
        <is>
          <t>audio</t>
        </is>
      </c>
      <c r="J2" t="inlineStr">
        <is>
          <t>voice_note_1</t>
        </is>
      </c>
      <c r="K2" t="inlineStr">
        <is>
          <t>hi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2" customWidth="1" min="3" max="3"/>
    <col width="18" customWidth="1" min="4" max="4"/>
    <col width="26" customWidth="1" min="5" max="5"/>
    <col width="16" customWidth="1" min="6" max="6"/>
    <col width="14" customWidth="1" min="7" max="7"/>
    <col width="16" customWidth="1" min="8" max="8"/>
  </cols>
  <sheetData>
    <row r="1">
      <c r="A1" s="1" t="inlineStr">
        <is>
          <t>user_id</t>
        </is>
      </c>
      <c r="B1" s="1" t="inlineStr">
        <is>
          <t>company_code</t>
        </is>
      </c>
      <c r="C1" s="1" t="inlineStr">
        <is>
          <t>name</t>
        </is>
      </c>
      <c r="D1" s="1" t="inlineStr">
        <is>
          <t>phone</t>
        </is>
      </c>
      <c r="E1" s="1" t="inlineStr">
        <is>
          <t>email</t>
        </is>
      </c>
      <c r="F1" s="1" t="inlineStr">
        <is>
          <t>role</t>
        </is>
      </c>
      <c r="G1" s="1" t="inlineStr">
        <is>
          <t>password_hash</t>
        </is>
      </c>
      <c r="H1" s="1" t="inlineStr">
        <is>
          <t>created_at</t>
        </is>
      </c>
    </row>
    <row r="2">
      <c r="A2" t="inlineStr">
        <is>
          <t>U-ACME3-001</t>
        </is>
      </c>
      <c r="B2" t="inlineStr">
        <is>
          <t>ACME3</t>
        </is>
      </c>
      <c r="C2" t="inlineStr">
        <is>
          <t>Rakesh Shah</t>
        </is>
      </c>
      <c r="D2" t="inlineStr">
        <is>
          <t>+919820012345</t>
        </is>
      </c>
      <c r="E2" t="inlineStr">
        <is>
          <t>rakesh@acmeforge.example</t>
        </is>
      </c>
      <c r="F2" t="inlineStr">
        <is>
          <t>owner</t>
        </is>
      </c>
      <c r="G2" t="inlineStr">
        <is>
          <t>$2b$12$v0uajli.1Ze0em9AHlNb2eGj.ZGvBimjoMS3Rjrvt0cjrNCqgHIZa</t>
        </is>
      </c>
      <c r="H2" s="2" t="n">
        <v>46037</v>
      </c>
    </row>
    <row r="3">
      <c r="A3" t="inlineStr">
        <is>
          <t>U-ACME3-002</t>
        </is>
      </c>
      <c r="B3" t="inlineStr">
        <is>
          <t>ACME3</t>
        </is>
      </c>
      <c r="C3" t="inlineStr">
        <is>
          <t>Vikram Naik</t>
        </is>
      </c>
      <c r="D3" t="inlineStr">
        <is>
          <t>+919812340010</t>
        </is>
      </c>
      <c r="E3" t="inlineStr">
        <is>
          <t>vikram@acmeforge.example</t>
        </is>
      </c>
      <c r="F3" t="inlineStr">
        <is>
          <t>maintenance_head</t>
        </is>
      </c>
      <c r="G3" t="inlineStr">
        <is>
          <t>$2b$12$IIvHgLANrQHzvmovuC8DHeK1UOZ/NlBVCB8PU9JoFFlP7u7iTzxQ6</t>
        </is>
      </c>
      <c r="H3" s="2" t="n">
        <v>46042</v>
      </c>
    </row>
    <row r="4">
      <c r="A4" t="inlineStr">
        <is>
          <t>U-ACME3-003</t>
        </is>
      </c>
      <c r="B4" t="inlineStr">
        <is>
          <t>ACME3</t>
        </is>
      </c>
      <c r="C4" t="inlineStr">
        <is>
          <t>Sunil Pawar</t>
        </is>
      </c>
      <c r="D4" t="inlineStr">
        <is>
          <t>+919812340011</t>
        </is>
      </c>
      <c r="E4" t="inlineStr">
        <is>
          <t>sunil@acmeforge.example</t>
        </is>
      </c>
      <c r="F4" t="inlineStr">
        <is>
          <t>supervisor</t>
        </is>
      </c>
      <c r="G4" t="inlineStr">
        <is>
          <t>$2b$12$wTzN5JRTGMrvwdzyAK3fQenhV/J9scY7Ir9xwxd5v32TE3vwfvW6.</t>
        </is>
      </c>
      <c r="H4" s="2" t="n">
        <v>46042</v>
      </c>
    </row>
    <row r="5">
      <c r="A5" t="inlineStr">
        <is>
          <t>U-BETA1-001</t>
        </is>
      </c>
      <c r="B5" t="inlineStr">
        <is>
          <t>BETA1</t>
        </is>
      </c>
      <c r="C5" t="inlineStr">
        <is>
          <t>Meena Kulkarni</t>
        </is>
      </c>
      <c r="D5" t="inlineStr">
        <is>
          <t>+919820098765</t>
        </is>
      </c>
      <c r="E5" t="inlineStr">
        <is>
          <t>meena@betaprecision.example</t>
        </is>
      </c>
      <c r="F5" t="inlineStr">
        <is>
          <t>owner</t>
        </is>
      </c>
      <c r="G5" t="inlineStr">
        <is>
          <t>$2b$12$O3UGekcdmnN.XDFnSUY9VOCucahyrFJGXNj0KG9p3oV8T70XzXTaW</t>
        </is>
      </c>
      <c r="H5" s="2" t="n">
        <v>46082</v>
      </c>
    </row>
    <row r="6">
      <c r="A6" t="inlineStr">
        <is>
          <t>U-BETA1-002</t>
        </is>
      </c>
      <c r="B6" t="inlineStr">
        <is>
          <t>BETA1</t>
        </is>
      </c>
      <c r="C6" t="inlineStr">
        <is>
          <t>Anil Deshmukh</t>
        </is>
      </c>
      <c r="D6" t="inlineStr">
        <is>
          <t>+919812340020</t>
        </is>
      </c>
      <c r="E6" t="inlineStr">
        <is>
          <t>anil@betaprecision.example</t>
        </is>
      </c>
      <c r="F6" t="inlineStr">
        <is>
          <t>maintenance_head</t>
        </is>
      </c>
      <c r="G6" t="inlineStr">
        <is>
          <t>$2b$12$NOYeMQ4zcACgCXfmSC/0QOP3FOfgP51eH15cenT6fQuyXuqvO8DPq</t>
        </is>
      </c>
      <c r="H6" s="2" t="n">
        <v>46083</v>
      </c>
    </row>
  </sheetData>
  <dataValidations count="1">
    <dataValidation sqref="F2:F1000" showDropDown="0" showInputMessage="0" showErrorMessage="0" allowBlank="0" type="list">
      <formula1>"owner,supervisor,maintenance_head"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20" customWidth="1" min="4" max="4"/>
    <col width="28" customWidth="1" min="5" max="5"/>
    <col width="22" customWidth="1" min="6" max="6"/>
    <col width="46" customWidth="1" min="7" max="7"/>
    <col width="16" customWidth="1" min="8" max="8"/>
    <col width="16" customWidth="1" min="9" max="9"/>
  </cols>
  <sheetData>
    <row r="1">
      <c r="A1" s="1" t="inlineStr">
        <is>
          <t>document_id</t>
        </is>
      </c>
      <c r="B1" s="1" t="inlineStr">
        <is>
          <t>company_code</t>
        </is>
      </c>
      <c r="C1" s="1" t="inlineStr">
        <is>
          <t>machine_id</t>
        </is>
      </c>
      <c r="D1" s="1" t="inlineStr">
        <is>
          <t>category</t>
        </is>
      </c>
      <c r="E1" s="1" t="inlineStr">
        <is>
          <t>title</t>
        </is>
      </c>
      <c r="F1" s="1" t="inlineStr">
        <is>
          <t>file_name</t>
        </is>
      </c>
      <c r="G1" s="1" t="inlineStr">
        <is>
          <t>storage_path</t>
        </is>
      </c>
      <c r="H1" s="1" t="inlineStr">
        <is>
          <t>uploaded_by</t>
        </is>
      </c>
      <c r="I1" s="1" t="inlineStr">
        <is>
          <t>uploaded_at</t>
        </is>
      </c>
    </row>
    <row r="2">
      <c r="A2" t="inlineStr">
        <is>
          <t>DOC-ACME3-001</t>
        </is>
      </c>
      <c r="B2" t="inlineStr">
        <is>
          <t>ACME3</t>
        </is>
      </c>
      <c r="C2" t="inlineStr">
        <is>
          <t>TF-ACME3-M001</t>
        </is>
      </c>
      <c r="D2" t="inlineStr">
        <is>
          <t>manual</t>
        </is>
      </c>
      <c r="E2" t="inlineStr">
        <is>
          <t>CNC Lathe 1 - Operation &amp; Maintenance Manual</t>
        </is>
      </c>
      <c r="F2" t="inlineStr">
        <is>
          <t>cnc-lathe-1-manual.txt</t>
        </is>
      </c>
      <c r="G2" t="inlineStr">
        <is>
          <t>/Users/nkumarsoni/Turbobox11/backend/document_store/ACME3/TF-ACME3-M001/DOC-ACME3-001_cnc-lathe-1-manual.txt</t>
        </is>
      </c>
      <c r="H2" t="inlineStr">
        <is>
          <t>Rakesh Shah</t>
        </is>
      </c>
      <c r="I2" s="2" t="n">
        <v>46210</v>
      </c>
    </row>
    <row r="3">
      <c r="A3" t="inlineStr">
        <is>
          <t>DOC-ACME3-002</t>
        </is>
      </c>
      <c r="B3" t="inlineStr">
        <is>
          <t>ACME3</t>
        </is>
      </c>
      <c r="C3" t="inlineStr">
        <is>
          <t>TF-ACME3-M001</t>
        </is>
      </c>
      <c r="D3" t="inlineStr">
        <is>
          <t>circuit_diagram</t>
        </is>
      </c>
      <c r="E3" t="inlineStr">
        <is>
          <t>CNC Lathe 1 - Electrical Circuit Diagram</t>
        </is>
      </c>
      <c r="F3" t="inlineStr">
        <is>
          <t>cnc-lathe-1-circuit.txt</t>
        </is>
      </c>
      <c r="G3" t="inlineStr">
        <is>
          <t>/Users/nkumarsoni/Turbobox11/backend/document_store/ACME3/TF-ACME3-M001/DOC-ACME3-002_cnc-lathe-1-circuit.txt</t>
        </is>
      </c>
      <c r="H3" t="inlineStr">
        <is>
          <t>Vikram Naik</t>
        </is>
      </c>
      <c r="I3" s="2" t="n">
        <v>46210</v>
      </c>
    </row>
    <row r="4">
      <c r="A4" t="inlineStr">
        <is>
          <t>DOC-ACME3-003</t>
        </is>
      </c>
      <c r="B4" t="inlineStr">
        <is>
          <t>ACME3</t>
        </is>
      </c>
      <c r="C4" t="inlineStr">
        <is>
          <t>TF-ACME3-M002</t>
        </is>
      </c>
      <c r="D4" t="inlineStr">
        <is>
          <t>hydraulic_diagram</t>
        </is>
      </c>
      <c r="E4" t="inlineStr">
        <is>
          <t>Hydraulic Press - Hydraulic Circuit Diagram</t>
        </is>
      </c>
      <c r="F4" t="inlineStr">
        <is>
          <t>hyd-press-hydraulic.txt</t>
        </is>
      </c>
      <c r="G4" t="inlineStr">
        <is>
          <t>/Users/nkumarsoni/Turbobox11/backend/document_store/ACME3/TF-ACME3-M002/DOC-ACME3-003_hyd-press-hydraulic.txt</t>
        </is>
      </c>
      <c r="H4" t="inlineStr">
        <is>
          <t>Vikram Naik</t>
        </is>
      </c>
      <c r="I4" s="2" t="n">
        <v>46210</v>
      </c>
    </row>
    <row r="5">
      <c r="A5" t="inlineStr">
        <is>
          <t>DOC-ACME3-004</t>
        </is>
      </c>
      <c r="B5" t="inlineStr">
        <is>
          <t>ACME3</t>
        </is>
      </c>
      <c r="C5" t="inlineStr">
        <is>
          <t>TF-ACME3-M002</t>
        </is>
      </c>
      <c r="D5" t="inlineStr">
        <is>
          <t>spare_parts_catalog</t>
        </is>
      </c>
      <c r="E5" t="inlineStr">
        <is>
          <t>Hydraulic Press - Spare Parts Catalog</t>
        </is>
      </c>
      <c r="F5" t="inlineStr">
        <is>
          <t>hyd-press-spares.txt</t>
        </is>
      </c>
      <c r="G5" t="inlineStr">
        <is>
          <t>/Users/nkumarsoni/Turbobox11/backend/document_store/ACME3/TF-ACME3-M002/DOC-ACME3-004_hyd-press-spares.txt</t>
        </is>
      </c>
      <c r="H5" t="inlineStr">
        <is>
          <t>Vikram Naik</t>
        </is>
      </c>
      <c r="I5" s="2" t="n">
        <v>46210</v>
      </c>
    </row>
    <row r="6">
      <c r="A6" t="inlineStr">
        <is>
          <t>DOC-BETA1-001</t>
        </is>
      </c>
      <c r="B6" t="inlineStr">
        <is>
          <t>BETA1</t>
        </is>
      </c>
      <c r="C6" t="inlineStr">
        <is>
          <t>TF-BETA1-M001</t>
        </is>
      </c>
      <c r="D6" t="inlineStr">
        <is>
          <t>manual</t>
        </is>
      </c>
      <c r="E6" t="inlineStr">
        <is>
          <t>Grinding Machine - Operation Manual</t>
        </is>
      </c>
      <c r="F6" t="inlineStr">
        <is>
          <t>grinder-manual.txt</t>
        </is>
      </c>
      <c r="G6" t="inlineStr">
        <is>
          <t>/Users/nkumarsoni/Turbobox11/backend/document_store/BETA1/TF-BETA1-M001/DOC-BETA1-001_grinder-manual.txt</t>
        </is>
      </c>
      <c r="H6" t="inlineStr">
        <is>
          <t>Anil Deshmukh</t>
        </is>
      </c>
      <c r="I6" s="2" t="n">
        <v>46210</v>
      </c>
    </row>
  </sheetData>
  <dataValidations count="2">
    <dataValidation sqref="C2:C1000" showDropDown="0" showInputMessage="0" showErrorMessage="0" allowBlank="0" type="list">
      <formula1>=Machines!$A$2:$A$1000</formula1>
    </dataValidation>
    <dataValidation sqref="D2:D1000" showDropDown="0" showInputMessage="0" showErrorMessage="0" allowBlank="0" type="list">
      <formula1>"manual,circuit_diagram,hydraulic_diagram,spare_parts_catalog,other"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24" customWidth="1" min="4" max="4"/>
    <col width="18" customWidth="1" min="5" max="5"/>
    <col width="16" customWidth="1" min="6" max="6"/>
    <col width="10" customWidth="1" min="7" max="7"/>
    <col width="14" customWidth="1" min="8" max="8"/>
    <col width="22" customWidth="1" min="9" max="9"/>
    <col width="26" customWidth="1" min="10" max="10"/>
  </cols>
  <sheetData>
    <row r="1">
      <c r="A1" s="1" t="inlineStr">
        <is>
          <t>part_id</t>
        </is>
      </c>
      <c r="B1" s="1" t="inlineStr">
        <is>
          <t>company_code</t>
        </is>
      </c>
      <c r="C1" s="1" t="inlineStr">
        <is>
          <t>machine_id</t>
        </is>
      </c>
      <c r="D1" s="1" t="inlineStr">
        <is>
          <t>part_name</t>
        </is>
      </c>
      <c r="E1" s="1" t="inlineStr">
        <is>
          <t>part_number</t>
        </is>
      </c>
      <c r="F1" s="1" t="inlineStr">
        <is>
          <t>quantity_on_hand</t>
        </is>
      </c>
      <c r="G1" s="1" t="inlineStr">
        <is>
          <t>unit</t>
        </is>
      </c>
      <c r="H1" s="1" t="inlineStr">
        <is>
          <t>reorder_level</t>
        </is>
      </c>
      <c r="I1" s="1" t="inlineStr">
        <is>
          <t>supplier</t>
        </is>
      </c>
      <c r="J1" s="1" t="inlineStr">
        <is>
          <t>notes</t>
        </is>
      </c>
    </row>
    <row r="2">
      <c r="A2" t="inlineStr">
        <is>
          <t>SP-ACME3-001</t>
        </is>
      </c>
      <c r="B2" t="inlineStr">
        <is>
          <t>ACME3</t>
        </is>
      </c>
      <c r="C2" t="inlineStr">
        <is>
          <t>TF-ACME3-M001</t>
        </is>
      </c>
      <c r="D2" t="inlineStr">
        <is>
          <t>Spindle Bearing 6208ZZ</t>
        </is>
      </c>
      <c r="E2" t="inlineStr">
        <is>
          <t>BRG-6208ZZ</t>
        </is>
      </c>
      <c r="F2" t="n">
        <v>4</v>
      </c>
      <c r="G2" t="inlineStr">
        <is>
          <t>pcs</t>
        </is>
      </c>
      <c r="H2" t="n">
        <v>2</v>
      </c>
      <c r="I2" t="inlineStr">
        <is>
          <t>Pune Bearings Co.</t>
        </is>
      </c>
      <c r="J2" t="inlineStr">
        <is>
          <t>Replace in pairs</t>
        </is>
      </c>
    </row>
    <row r="3">
      <c r="A3" t="inlineStr">
        <is>
          <t>SP-ACME3-002</t>
        </is>
      </c>
      <c r="B3" t="inlineStr">
        <is>
          <t>ACME3</t>
        </is>
      </c>
      <c r="C3" t="inlineStr">
        <is>
          <t>TF-ACME3-M002</t>
        </is>
      </c>
      <c r="D3" t="inlineStr">
        <is>
          <t>Hydraulic Seal Kit</t>
        </is>
      </c>
      <c r="E3" t="inlineStr">
        <is>
          <t>SEAL-HP-220</t>
        </is>
      </c>
      <c r="F3" t="n">
        <v>3</v>
      </c>
      <c r="G3" t="inlineStr">
        <is>
          <t>kits</t>
        </is>
      </c>
      <c r="H3" t="n">
        <v>1</v>
      </c>
      <c r="I3" t="inlineStr">
        <is>
          <t>Hydro Seals Pvt Ltd</t>
        </is>
      </c>
      <c r="J3" t="inlineStr"/>
    </row>
    <row r="4">
      <c r="A4" t="inlineStr">
        <is>
          <t>SP-BETA1-001</t>
        </is>
      </c>
      <c r="B4" t="inlineStr">
        <is>
          <t>BETA1</t>
        </is>
      </c>
      <c r="C4" t="inlineStr">
        <is>
          <t>TF-BETA1-M001</t>
        </is>
      </c>
      <c r="D4" t="inlineStr">
        <is>
          <t>Grinding Wheel 8in</t>
        </is>
      </c>
      <c r="E4" t="inlineStr">
        <is>
          <t>GW-8-A46</t>
        </is>
      </c>
      <c r="F4" t="n">
        <v>6</v>
      </c>
      <c r="G4" t="inlineStr">
        <is>
          <t>pcs</t>
        </is>
      </c>
      <c r="H4" t="n">
        <v>3</v>
      </c>
      <c r="I4" t="inlineStr">
        <is>
          <t>Abrasives India</t>
        </is>
      </c>
      <c r="J4" t="inlineStr"/>
    </row>
  </sheetData>
  <dataValidations count="1">
    <dataValidation sqref="C2:C1000" showDropDown="0" showInputMessage="0" showErrorMessage="0" allowBlank="0" type="list">
      <formula1>=Machines!$A$2:$A$1000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22" customWidth="1" min="4" max="4"/>
    <col width="16" customWidth="1" min="5" max="5"/>
    <col width="10" customWidth="1" min="6" max="6"/>
    <col width="14" customWidth="1" min="7" max="7"/>
    <col width="26" customWidth="1" min="8" max="8"/>
  </cols>
  <sheetData>
    <row r="1">
      <c r="A1" s="1" t="inlineStr">
        <is>
          <t>consumable_id</t>
        </is>
      </c>
      <c r="B1" s="1" t="inlineStr">
        <is>
          <t>company_code</t>
        </is>
      </c>
      <c r="C1" s="1" t="inlineStr">
        <is>
          <t>machine_id</t>
        </is>
      </c>
      <c r="D1" s="1" t="inlineStr">
        <is>
          <t>name</t>
        </is>
      </c>
      <c r="E1" s="1" t="inlineStr">
        <is>
          <t>quantity_on_hand</t>
        </is>
      </c>
      <c r="F1" s="1" t="inlineStr">
        <is>
          <t>unit</t>
        </is>
      </c>
      <c r="G1" s="1" t="inlineStr">
        <is>
          <t>reorder_level</t>
        </is>
      </c>
      <c r="H1" s="1" t="inlineStr">
        <is>
          <t>notes</t>
        </is>
      </c>
    </row>
    <row r="2">
      <c r="A2" t="inlineStr">
        <is>
          <t>CON-ACME3-001</t>
        </is>
      </c>
      <c r="B2" t="inlineStr">
        <is>
          <t>ACME3</t>
        </is>
      </c>
      <c r="C2" t="inlineStr">
        <is>
          <t>TF-ACME3-M001</t>
        </is>
      </c>
      <c r="D2" t="inlineStr">
        <is>
          <t>Way Lubricant Oil (ISO VG68)</t>
        </is>
      </c>
      <c r="E2" t="n">
        <v>20</v>
      </c>
      <c r="F2" t="inlineStr">
        <is>
          <t>litres</t>
        </is>
      </c>
      <c r="G2" t="n">
        <v>5</v>
      </c>
      <c r="H2" t="inlineStr">
        <is>
          <t>Top up weekly</t>
        </is>
      </c>
    </row>
    <row r="3">
      <c r="A3" t="inlineStr">
        <is>
          <t>CON-ACME3-002</t>
        </is>
      </c>
      <c r="B3" t="inlineStr">
        <is>
          <t>ACME3</t>
        </is>
      </c>
      <c r="C3" t="inlineStr">
        <is>
          <t>TF-ACME3-M002</t>
        </is>
      </c>
      <c r="D3" t="inlineStr">
        <is>
          <t>Hydraulic Fluid (ISO VG46)</t>
        </is>
      </c>
      <c r="E3" t="n">
        <v>40</v>
      </c>
      <c r="F3" t="inlineStr">
        <is>
          <t>litres</t>
        </is>
      </c>
      <c r="G3" t="n">
        <v>10</v>
      </c>
      <c r="H3" t="inlineStr"/>
    </row>
    <row r="4">
      <c r="A4" t="inlineStr">
        <is>
          <t>CON-BETA1-001</t>
        </is>
      </c>
      <c r="B4" t="inlineStr">
        <is>
          <t>BETA1</t>
        </is>
      </c>
      <c r="C4" t="inlineStr">
        <is>
          <t>TF-BETA1-M001</t>
        </is>
      </c>
      <c r="D4" t="inlineStr">
        <is>
          <t>Coolant Concentrate</t>
        </is>
      </c>
      <c r="E4" t="n">
        <v>15</v>
      </c>
      <c r="F4" t="inlineStr">
        <is>
          <t>litres</t>
        </is>
      </c>
      <c r="G4" t="n">
        <v>5</v>
      </c>
      <c r="H4" t="inlineStr"/>
    </row>
  </sheetData>
  <dataValidations count="1">
    <dataValidation sqref="C2:C1000" showDropDown="0" showInputMessage="0" showErrorMessage="0" allowBlank="0" type="list">
      <formula1>=Machines!$A$2:$A$1000</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0" customWidth="1" min="1" max="1"/>
    <col width="24" customWidth="1" min="2" max="2"/>
  </cols>
  <sheetData>
    <row r="1">
      <c r="A1" s="4" t="inlineStr">
        <is>
          <t>TurboFix Dashboard</t>
        </is>
      </c>
    </row>
    <row r="3">
      <c r="A3" s="5" t="inlineStr">
        <is>
          <t>Select Company:</t>
        </is>
      </c>
      <c r="B3" s="6" t="inlineStr">
        <is>
          <t>ACME3</t>
        </is>
      </c>
    </row>
    <row r="4">
      <c r="A4" t="inlineStr">
        <is>
          <t>Company Name:</t>
        </is>
      </c>
      <c r="B4">
        <f>IFERROR(VLOOKUP(B3,Companies!$A:$B,2,FALSE),"")</f>
        <v/>
      </c>
    </row>
    <row r="6">
      <c r="A6" s="7" t="inlineStr">
        <is>
          <t>Key Metrics</t>
        </is>
      </c>
    </row>
    <row r="7">
      <c r="A7" s="5" t="inlineStr">
        <is>
          <t>Open Tickets</t>
        </is>
      </c>
      <c r="B7">
        <f>COUNTIFS(Tickets!$C:$C,$B$3,Tickets!$J:$J,"Open")</f>
        <v/>
      </c>
    </row>
    <row r="8">
      <c r="A8" s="5" t="inlineStr">
        <is>
          <t>Total Machines</t>
        </is>
      </c>
      <c r="B8">
        <f>COUNTIFS(Machines!$B:$B,$B$3)</f>
        <v/>
      </c>
    </row>
    <row r="9">
      <c r="A9" s="5" t="inlineStr">
        <is>
          <t>Machines Down</t>
        </is>
      </c>
      <c r="B9">
        <f>COUNTIFS(Machines!$B:$B,$B$3,Machines!$I:$I,"&gt;0")</f>
        <v/>
      </c>
    </row>
    <row r="10">
      <c r="A10" s="5" t="inlineStr">
        <is>
          <t>Closed Today</t>
        </is>
      </c>
      <c r="B10">
        <f>COUNTIFS(Tickets!$C:$C,$B$3,Tickets!$J:$J,"Closed",Tickets!$K:$K,"&gt;="&amp;TODAY(),Tickets!$K:$K,"&lt;"&amp;(TODAY()+1))</f>
        <v/>
      </c>
    </row>
    <row r="11">
      <c r="A11" s="5" t="inlineStr">
        <is>
          <t>Total Tickets</t>
        </is>
      </c>
      <c r="B11">
        <f>COUNTIFS(Tickets!$C:$C,$B$3)</f>
        <v/>
      </c>
    </row>
    <row r="12">
      <c r="A12" s="5" t="inlineStr">
        <is>
          <t>Avg Hours to Fix</t>
        </is>
      </c>
      <c r="B12">
        <f>IFERROR(ROUND(AVERAGEIFS(Tickets!$L:$L,Tickets!$C:$C,$B$3,Tickets!$J:$J,"Closed"),1),0)</f>
        <v/>
      </c>
    </row>
    <row r="13">
      <c r="A13" s="5" t="inlineStr">
        <is>
          <t>Plant Health %</t>
        </is>
      </c>
      <c r="B13">
        <f>IFERROR(ROUND((B8-B9)/B8*100,0),100)</f>
        <v/>
      </c>
    </row>
    <row r="15">
      <c r="A15" s="8" t="inlineStr">
        <is>
          <t>Note: this per-company view works via the selector above (anyone with edit access to this file can change it and see any company's numbers). For production, each company owner should only ever see their own filtered view/link (e.g. a protected range + IMPORTRANGE into a company-specific sheet, or a backend-driven web dashboard) rather than direct access to this consolidated workbook.</t>
        </is>
      </c>
    </row>
    <row r="16"/>
    <row r="17"/>
    <row r="18"/>
  </sheetData>
  <mergeCells count="1">
    <mergeCell ref="A15:H18"/>
  </mergeCells>
  <dataValidations count="1">
    <dataValidation sqref="B3" showDropDown="0" showInputMessage="0" showErrorMessage="0" allowBlank="0" type="list">
      <formula1>=Companies!$A$2:$A$1000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2026-07-10T14:50:44Z</dcterms:created>
  <dcterms:modified xmlns:dcterms="http://purl.org/dc/terms/" xmlns:xsi="http://www.w3.org/2001/XMLSchema-instance" xsi:type="dcterms:W3CDTF">2026-07-10T14:50:46Z</dcterms:modified>
</cp:coreProperties>
</file>